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b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color rgb="006B7378"/>
      <sz val="9"/>
    </font>
    <font>
      <color rgb="004B5257"/>
      <sz val="9"/>
    </font>
    <font>
      <b val="1"/>
      <sz val="20"/>
    </font>
    <font>
      <b val="1"/>
      <sz val="12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1F242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CCCCCC"/>
      </patternFill>
    </fill>
  </fills>
  <borders count="2">
    <border>
      <left/>
      <right/>
      <top/>
      <bottom/>
      <diagonal/>
    </border>
    <border>
      <left style="thin">
        <color rgb="00D5DADD"/>
      </left>
      <right style="thin">
        <color rgb="00D5DADD"/>
      </right>
      <top style="thin">
        <color rgb="00D5DADD"/>
      </top>
      <bottom style="thin">
        <color rgb="00D5DA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bottom" wrapText="1"/>
    </xf>
    <xf numFmtId="0" fontId="4" fillId="2" borderId="1" applyAlignment="1" pivotButton="0" quotePrefix="0" xfId="0">
      <alignment horizontal="left"/>
    </xf>
    <xf numFmtId="0" fontId="5" fillId="0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CFE2F3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B6D7A8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A9999"/>
        </patternFill>
      </fill>
    </dxf>
    <dxf>
      <fill>
        <patternFill patternType="solid">
          <fgColor rgb="00CC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Submissions by status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'Dashboard'!C14</f>
            </strRef>
          </tx>
          <spPr>
            <a:ln>
              <a:prstDash val="solid"/>
            </a:ln>
          </spPr>
          <cat>
            <numRef>
              <f>'Dashboard'!$B$15:$B$23</f>
            </numRef>
          </cat>
          <val>
            <numRef>
              <f>'Dashboard'!$C$15:$C$23</f>
            </numRef>
          </val>
        </ser>
        <ser>
          <idx val="1"/>
          <order val="1"/>
          <tx>
            <strRef>
              <f>'Dashboard'!D14</f>
            </strRef>
          </tx>
          <spPr>
            <a:ln>
              <a:prstDash val="solid"/>
            </a:ln>
          </spPr>
          <cat>
            <numRef>
              <f>'Dashboard'!$B$15:$B$23</f>
            </numRef>
          </cat>
          <val>
            <numRef>
              <f>'Dashboard'!$D$15:$D$23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Submissions per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'Dashboard'!C27</f>
            </strRef>
          </tx>
          <spPr>
            <a:ln>
              <a:prstDash val="solid"/>
            </a:ln>
          </spPr>
          <cat>
            <numRef>
              <f>'Dashboard'!$B$28:$B$39</f>
            </numRef>
          </cat>
          <val>
            <numRef>
              <f>'Dashboard'!$C$28:$C$39</f>
            </numRef>
          </val>
        </ser>
        <ser>
          <idx val="1"/>
          <order val="1"/>
          <tx>
            <strRef>
              <f>'Dashboard'!D27</f>
            </strRef>
          </tx>
          <spPr>
            <a:ln>
              <a:prstDash val="solid"/>
            </a:ln>
          </spPr>
          <cat>
            <numRef>
              <f>'Dashboard'!$B$28:$B$39</f>
            </numRef>
          </cat>
          <val>
            <numRef>
              <f>'Dashboard'!$D$28:$D$39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bmissions" displayName="Submissions" ref="A1:X2" headerRowCount="1">
  <autoFilter ref="A1:X2"/>
  <tableColumns count="24">
    <tableColumn id="1" name="Submitted"/>
    <tableColumn id="2" name="Submission ID"/>
    <tableColumn id="3" name="Status"/>
    <tableColumn id="4" name="Center"/>
    <tableColumn id="5" name="Name"/>
    <tableColumn id="6" name="ID number"/>
    <tableColumn id="7" name="Email"/>
    <tableColumn id="8" name="Phone"/>
    <tableColumn id="9" name="Department"/>
    <tableColumn id="10" name="Course"/>
    <tableColumn id="11" name="Deadline"/>
    <tableColumn id="12" name="Pieces"/>
    <tableColumn id="13" name="Color"/>
    <tableColumn id="14" name="Profile"/>
    <tableColumn id="15" name="Est. time (min)"/>
    <tableColumn id="16" name="Est. cost (ILS)"/>
    <tableColumn id="17" name="Plates"/>
    <tableColumn id="18" name="Filament (g)"/>
    <tableColumn id="19" name="Objects"/>
    <tableColumn id="20" name="Supports"/>
    <tableColumn id="21" name="Files"/>
    <tableColumn id="22" name="Folder"/>
    <tableColumn id="23" name="Student notes"/>
    <tableColumn id="24" name="Lab notes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1" t="inlineStr">
        <is>
          <t>BZL Print Lab – Dashboard</t>
        </is>
      </c>
    </row>
    <row r="3">
      <c r="B3" s="2" t="inlineStr">
        <is>
          <t>Updates by itself from the Submissions sheet. Change a submission's Status there.</t>
        </is>
      </c>
    </row>
    <row r="4">
      <c r="B4" s="2">
        <f>"As of "&amp;TEXT(TODAY(),"yyyy-mm-dd")</f>
        <v/>
      </c>
    </row>
    <row r="6" ht="30" customHeight="1">
      <c r="B6" s="3" t="inlineStr">
        <is>
          <t>Submissions</t>
        </is>
      </c>
      <c r="C6" s="3" t="inlineStr">
        <is>
          <t>Waiting (New + In review)</t>
        </is>
      </c>
      <c r="D6" s="3" t="inlineStr">
        <is>
          <t>Queued + Printing</t>
        </is>
      </c>
      <c r="E6" s="3" t="inlineStr">
        <is>
          <t>Ready for pickup</t>
        </is>
      </c>
      <c r="F6" s="3" t="inlineStr">
        <is>
          <t>Overdue (open, deadline passed)</t>
        </is>
      </c>
      <c r="G6" s="3" t="inlineStr">
        <is>
          <t>Due in the next 7 days (open)</t>
        </is>
      </c>
    </row>
    <row r="7" ht="30" customHeight="1">
      <c r="B7" s="4">
        <f>SUMPRODUCT(--(Submissions[Submission ID]&lt;&gt;""))</f>
        <v/>
      </c>
      <c r="C7" s="4">
        <f>SUMPRODUCT(((Submissions[Status]="New")+(Submissions[Status]="In review")))</f>
        <v/>
      </c>
      <c r="D7" s="4">
        <f>SUMPRODUCT(((Submissions[Status]="Queued")+(Submissions[Status]="Printing")))</f>
        <v/>
      </c>
      <c r="E7" s="4">
        <f>COUNTIFS(Submissions[Status],"Ready for pickup")</f>
        <v/>
      </c>
      <c r="F7" s="4">
        <f>SUMPRODUCT(((Submissions[Status]="New")+(Submissions[Status]="In review")+(Submissions[Status]="Queued")+(Submissions[Status]="Printing")+(Submissions[Status]="On hold"))*(Submissions[Deadline]&lt;&gt;"")*(LEFT(TEXT(Submissions[Deadline],"yyyy-mm-dd"),10)&lt;TEXT(TODAY(),"yyyy-mm-dd")))</f>
        <v/>
      </c>
      <c r="G7" s="4">
        <f>SUMPRODUCT(((Submissions[Status]="New")+(Submissions[Status]="In review")+(Submissions[Status]="Queued")+(Submissions[Status]="Printing")+(Submissions[Status]="On hold"))*(Submissions[Deadline]&lt;&gt;"")*(LEFT(TEXT(Submissions[Deadline],"yyyy-mm-dd"),10)&gt;=TEXT(TODAY(),"yyyy-mm-dd"))*(LEFT(TEXT(Submissions[Deadline],"yyyy-mm-dd"),10)&lt;=TEXT(TODAY()+7,"yyyy-mm-dd")))</f>
        <v/>
      </c>
    </row>
    <row r="9" ht="30" customHeight="1">
      <c r="B9" s="3" t="inlineStr">
        <is>
          <t>Open work (est. hours)</t>
        </is>
      </c>
      <c r="C9" s="3" t="inlineStr">
        <is>
          <t>Open filament (kg)</t>
        </is>
      </c>
      <c r="D9" s="3" t="inlineStr">
        <is>
          <t>Open value (ILS)</t>
        </is>
      </c>
      <c r="E9" s="3" t="inlineStr">
        <is>
          <t>Picked up value (ILS)</t>
        </is>
      </c>
      <c r="F9" s="3" t="inlineStr">
        <is>
          <t>Pieces (all)</t>
        </is>
      </c>
      <c r="G9" s="3" t="inlineStr">
        <is>
          <t>Plates (all)</t>
        </is>
      </c>
    </row>
    <row r="10" ht="30" customHeight="1">
      <c r="B10" s="4">
        <f>ROUND(SUMPRODUCT(((Submissions[Status]="New")+(Submissions[Status]="In review")+(Submissions[Status]="Queued")+(Submissions[Status]="Printing")+(Submissions[Status]="On hold"))*--("0"&amp;Submissions[Est. time (min)]))/60,1)</f>
        <v/>
      </c>
      <c r="C10" s="4">
        <f>ROUND(SUMPRODUCT(((Submissions[Status]="New")+(Submissions[Status]="In review")+(Submissions[Status]="Queued")+(Submissions[Status]="Printing")+(Submissions[Status]="On hold"))*--("0"&amp;Submissions[Filament (g)]))/1000,2)</f>
        <v/>
      </c>
      <c r="D10" s="4">
        <f>ROUND(SUMPRODUCT(((Submissions[Status]="New")+(Submissions[Status]="In review")+(Submissions[Status]="Queued")+(Submissions[Status]="Printing")+(Submissions[Status]="On hold"))*--("0"&amp;Submissions[Est. cost (ILS)])),2)</f>
        <v/>
      </c>
      <c r="E10" s="4">
        <f>ROUND(SUMPRODUCT(((Submissions[Status]="Picked up"))*--("0"&amp;Submissions[Est. cost (ILS)])),2)</f>
        <v/>
      </c>
      <c r="F10" s="4">
        <f>SUMPRODUCT(--("0"&amp;Submissions[Pieces]))</f>
        <v/>
      </c>
      <c r="G10" s="4">
        <f>SUMPRODUCT(--("0"&amp;Submissions[Plates]))</f>
        <v/>
      </c>
    </row>
    <row r="13">
      <c r="B13" s="5" t="inlineStr">
        <is>
          <t>By status</t>
        </is>
      </c>
      <c r="J13" s="2" t="inlineStr">
        <is>
          <t>Center names (as written by the site):</t>
        </is>
      </c>
    </row>
    <row r="14">
      <c r="B14" s="6" t="inlineStr">
        <is>
          <t>Status</t>
        </is>
      </c>
      <c r="C14" s="6" t="inlineStr">
        <is>
          <t>Main</t>
        </is>
      </c>
      <c r="D14" s="6" t="inlineStr">
        <is>
          <t>Architecture</t>
        </is>
      </c>
      <c r="E14" s="6" t="inlineStr">
        <is>
          <t>Total</t>
        </is>
      </c>
      <c r="F14" s="6" t="inlineStr">
        <is>
          <t>Est. hours</t>
        </is>
      </c>
      <c r="G14" s="6" t="inlineStr">
        <is>
          <t>Est. ILS</t>
        </is>
      </c>
      <c r="J14" s="7" t="inlineStr">
        <is>
          <t>Bezalel Main Modelling Center</t>
        </is>
      </c>
    </row>
    <row r="15">
      <c r="B15" s="8" t="inlineStr">
        <is>
          <t>New</t>
        </is>
      </c>
      <c r="C15" s="9">
        <f>COUNTIFS(Submissions[Status],$B15,Submissions[Center],$J$14)</f>
        <v/>
      </c>
      <c r="D15" s="9">
        <f>COUNTIFS(Submissions[Status],$B15,Submissions[Center],$J$15)</f>
        <v/>
      </c>
      <c r="E15" s="9">
        <f>COUNTIFS(Submissions[Status],$B15)</f>
        <v/>
      </c>
      <c r="F15" s="9">
        <f>ROUND(SUMPRODUCT((Submissions[Status]=$B15)*--("0"&amp;Submissions[Est. time (min)]))/60,1)</f>
        <v/>
      </c>
      <c r="G15" s="9">
        <f>ROUND(SUMPRODUCT((Submissions[Status]=$B15)*--("0"&amp;Submissions[Est. cost (ILS)])),2)</f>
        <v/>
      </c>
      <c r="J15" s="7" t="inlineStr">
        <is>
          <t>Bezalel Architecture Modelling Center</t>
        </is>
      </c>
    </row>
    <row r="16">
      <c r="B16" s="10" t="inlineStr">
        <is>
          <t>In review</t>
        </is>
      </c>
      <c r="C16" s="9">
        <f>COUNTIFS(Submissions[Status],$B16,Submissions[Center],$J$14)</f>
        <v/>
      </c>
      <c r="D16" s="9">
        <f>COUNTIFS(Submissions[Status],$B16,Submissions[Center],$J$15)</f>
        <v/>
      </c>
      <c r="E16" s="9">
        <f>COUNTIFS(Submissions[Status],$B16)</f>
        <v/>
      </c>
      <c r="F16" s="9">
        <f>ROUND(SUMPRODUCT((Submissions[Status]=$B16)*--("0"&amp;Submissions[Est. time (min)]))/60,1)</f>
        <v/>
      </c>
      <c r="G16" s="9">
        <f>ROUND(SUMPRODUCT((Submissions[Status]=$B16)*--("0"&amp;Submissions[Est. cost (ILS)])),2)</f>
        <v/>
      </c>
    </row>
    <row r="17">
      <c r="B17" s="11" t="inlineStr">
        <is>
          <t>Queued</t>
        </is>
      </c>
      <c r="C17" s="9">
        <f>COUNTIFS(Submissions[Status],$B17,Submissions[Center],$J$14)</f>
        <v/>
      </c>
      <c r="D17" s="9">
        <f>COUNTIFS(Submissions[Status],$B17,Submissions[Center],$J$15)</f>
        <v/>
      </c>
      <c r="E17" s="9">
        <f>COUNTIFS(Submissions[Status],$B17)</f>
        <v/>
      </c>
      <c r="F17" s="9">
        <f>ROUND(SUMPRODUCT((Submissions[Status]=$B17)*--("0"&amp;Submissions[Est. time (min)]))/60,1)</f>
        <v/>
      </c>
      <c r="G17" s="9">
        <f>ROUND(SUMPRODUCT((Submissions[Status]=$B17)*--("0"&amp;Submissions[Est. cost (ILS)])),2)</f>
        <v/>
      </c>
    </row>
    <row r="18">
      <c r="B18" s="12" t="inlineStr">
        <is>
          <t>Printing</t>
        </is>
      </c>
      <c r="C18" s="9">
        <f>COUNTIFS(Submissions[Status],$B18,Submissions[Center],$J$14)</f>
        <v/>
      </c>
      <c r="D18" s="9">
        <f>COUNTIFS(Submissions[Status],$B18,Submissions[Center],$J$15)</f>
        <v/>
      </c>
      <c r="E18" s="9">
        <f>COUNTIFS(Submissions[Status],$B18)</f>
        <v/>
      </c>
      <c r="F18" s="9">
        <f>ROUND(SUMPRODUCT((Submissions[Status]=$B18)*--("0"&amp;Submissions[Est. time (min)]))/60,1)</f>
        <v/>
      </c>
      <c r="G18" s="9">
        <f>ROUND(SUMPRODUCT((Submissions[Status]=$B18)*--("0"&amp;Submissions[Est. cost (ILS)])),2)</f>
        <v/>
      </c>
    </row>
    <row r="19">
      <c r="B19" s="13" t="inlineStr">
        <is>
          <t>Ready for pickup</t>
        </is>
      </c>
      <c r="C19" s="9">
        <f>COUNTIFS(Submissions[Status],$B19,Submissions[Center],$J$14)</f>
        <v/>
      </c>
      <c r="D19" s="9">
        <f>COUNTIFS(Submissions[Status],$B19,Submissions[Center],$J$15)</f>
        <v/>
      </c>
      <c r="E19" s="9">
        <f>COUNTIFS(Submissions[Status],$B19)</f>
        <v/>
      </c>
      <c r="F19" s="9">
        <f>ROUND(SUMPRODUCT((Submissions[Status]=$B19)*--("0"&amp;Submissions[Est. time (min)]))/60,1)</f>
        <v/>
      </c>
      <c r="G19" s="9">
        <f>ROUND(SUMPRODUCT((Submissions[Status]=$B19)*--("0"&amp;Submissions[Est. cost (ILS)])),2)</f>
        <v/>
      </c>
    </row>
    <row r="20">
      <c r="B20" s="14" t="inlineStr">
        <is>
          <t>Picked up</t>
        </is>
      </c>
      <c r="C20" s="9">
        <f>COUNTIFS(Submissions[Status],$B20,Submissions[Center],$J$14)</f>
        <v/>
      </c>
      <c r="D20" s="9">
        <f>COUNTIFS(Submissions[Status],$B20,Submissions[Center],$J$15)</f>
        <v/>
      </c>
      <c r="E20" s="9">
        <f>COUNTIFS(Submissions[Status],$B20)</f>
        <v/>
      </c>
      <c r="F20" s="9">
        <f>ROUND(SUMPRODUCT((Submissions[Status]=$B20)*--("0"&amp;Submissions[Est. time (min)]))/60,1)</f>
        <v/>
      </c>
      <c r="G20" s="9">
        <f>ROUND(SUMPRODUCT((Submissions[Status]=$B20)*--("0"&amp;Submissions[Est. cost (ILS)])),2)</f>
        <v/>
      </c>
    </row>
    <row r="21">
      <c r="B21" s="15" t="inlineStr">
        <is>
          <t>On hold</t>
        </is>
      </c>
      <c r="C21" s="9">
        <f>COUNTIFS(Submissions[Status],$B21,Submissions[Center],$J$14)</f>
        <v/>
      </c>
      <c r="D21" s="9">
        <f>COUNTIFS(Submissions[Status],$B21,Submissions[Center],$J$15)</f>
        <v/>
      </c>
      <c r="E21" s="9">
        <f>COUNTIFS(Submissions[Status],$B21)</f>
        <v/>
      </c>
      <c r="F21" s="9">
        <f>ROUND(SUMPRODUCT((Submissions[Status]=$B21)*--("0"&amp;Submissions[Est. time (min)]))/60,1)</f>
        <v/>
      </c>
      <c r="G21" s="9">
        <f>ROUND(SUMPRODUCT((Submissions[Status]=$B21)*--("0"&amp;Submissions[Est. cost (ILS)])),2)</f>
        <v/>
      </c>
    </row>
    <row r="22">
      <c r="B22" s="16" t="inlineStr">
        <is>
          <t>Rejected</t>
        </is>
      </c>
      <c r="C22" s="9">
        <f>COUNTIFS(Submissions[Status],$B22,Submissions[Center],$J$14)</f>
        <v/>
      </c>
      <c r="D22" s="9">
        <f>COUNTIFS(Submissions[Status],$B22,Submissions[Center],$J$15)</f>
        <v/>
      </c>
      <c r="E22" s="9">
        <f>COUNTIFS(Submissions[Status],$B22)</f>
        <v/>
      </c>
      <c r="F22" s="9">
        <f>ROUND(SUMPRODUCT((Submissions[Status]=$B22)*--("0"&amp;Submissions[Est. time (min)]))/60,1)</f>
        <v/>
      </c>
      <c r="G22" s="9">
        <f>ROUND(SUMPRODUCT((Submissions[Status]=$B22)*--("0"&amp;Submissions[Est. cost (ILS)])),2)</f>
        <v/>
      </c>
    </row>
    <row r="23">
      <c r="B23" s="17" t="inlineStr">
        <is>
          <t>Cancelled</t>
        </is>
      </c>
      <c r="C23" s="9">
        <f>COUNTIFS(Submissions[Status],$B23,Submissions[Center],$J$14)</f>
        <v/>
      </c>
      <c r="D23" s="9">
        <f>COUNTIFS(Submissions[Status],$B23,Submissions[Center],$J$15)</f>
        <v/>
      </c>
      <c r="E23" s="9">
        <f>COUNTIFS(Submissions[Status],$B23)</f>
        <v/>
      </c>
      <c r="F23" s="9">
        <f>ROUND(SUMPRODUCT((Submissions[Status]=$B23)*--("0"&amp;Submissions[Est. time (min)]))/60,1)</f>
        <v/>
      </c>
      <c r="G23" s="9">
        <f>ROUND(SUMPRODUCT((Submissions[Status]=$B23)*--("0"&amp;Submissions[Est. cost (ILS)])),2)</f>
        <v/>
      </c>
    </row>
    <row r="26">
      <c r="B26" s="5" t="inlineStr">
        <is>
          <t>Per month (submitted)</t>
        </is>
      </c>
    </row>
    <row r="27">
      <c r="B27" s="6" t="inlineStr">
        <is>
          <t>Month</t>
        </is>
      </c>
      <c r="C27" s="6" t="inlineStr">
        <is>
          <t>Main</t>
        </is>
      </c>
      <c r="D27" s="6" t="inlineStr">
        <is>
          <t>Architecture</t>
        </is>
      </c>
      <c r="E27" s="6" t="inlineStr">
        <is>
          <t>Submissions</t>
        </is>
      </c>
      <c r="F27" s="6" t="inlineStr">
        <is>
          <t>Pieces</t>
        </is>
      </c>
      <c r="G27" s="6" t="inlineStr">
        <is>
          <t>Est. hours</t>
        </is>
      </c>
      <c r="H27" s="6" t="inlineStr">
        <is>
          <t>Est. ILS</t>
        </is>
      </c>
    </row>
    <row r="28">
      <c r="B28" s="9">
        <f>TEXT(EDATE(TODAY(),-11),"yyyy-mm")</f>
        <v/>
      </c>
      <c r="C28" s="9">
        <f>SUMPRODUCT((LEFT(TEXT(Submissions[Submitted],"yyyy-mm"),7)=$B28)*(Submissions[Center]=$J$14))</f>
        <v/>
      </c>
      <c r="D28" s="9">
        <f>SUMPRODUCT((LEFT(TEXT(Submissions[Submitted],"yyyy-mm"),7)=$B28)*(Submissions[Center]=$J$15))</f>
        <v/>
      </c>
      <c r="E28" s="9">
        <f>SUMPRODUCT(--(LEFT(TEXT(Submissions[Submitted],"yyyy-mm"),7)=$B28))</f>
        <v/>
      </c>
      <c r="F28" s="9">
        <f>SUMPRODUCT((LEFT(TEXT(Submissions[Submitted],"yyyy-mm"),7)=$B28)*--("0"&amp;Submissions[Pieces]))</f>
        <v/>
      </c>
      <c r="G28" s="9">
        <f>ROUND(SUMPRODUCT((LEFT(TEXT(Submissions[Submitted],"yyyy-mm"),7)=$B28)*--("0"&amp;Submissions[Est. time (min)]))/60,1)</f>
        <v/>
      </c>
      <c r="H28" s="9">
        <f>ROUND(SUMPRODUCT((LEFT(TEXT(Submissions[Submitted],"yyyy-mm"),7)=$B28)*--("0"&amp;Submissions[Est. cost (ILS)])),2)</f>
        <v/>
      </c>
    </row>
    <row r="29">
      <c r="B29" s="9">
        <f>TEXT(EDATE(TODAY(),-10),"yyyy-mm")</f>
        <v/>
      </c>
      <c r="C29" s="9">
        <f>SUMPRODUCT((LEFT(TEXT(Submissions[Submitted],"yyyy-mm"),7)=$B29)*(Submissions[Center]=$J$14))</f>
        <v/>
      </c>
      <c r="D29" s="9">
        <f>SUMPRODUCT((LEFT(TEXT(Submissions[Submitted],"yyyy-mm"),7)=$B29)*(Submissions[Center]=$J$15))</f>
        <v/>
      </c>
      <c r="E29" s="9">
        <f>SUMPRODUCT(--(LEFT(TEXT(Submissions[Submitted],"yyyy-mm"),7)=$B29))</f>
        <v/>
      </c>
      <c r="F29" s="9">
        <f>SUMPRODUCT((LEFT(TEXT(Submissions[Submitted],"yyyy-mm"),7)=$B29)*--("0"&amp;Submissions[Pieces]))</f>
        <v/>
      </c>
      <c r="G29" s="9">
        <f>ROUND(SUMPRODUCT((LEFT(TEXT(Submissions[Submitted],"yyyy-mm"),7)=$B29)*--("0"&amp;Submissions[Est. time (min)]))/60,1)</f>
        <v/>
      </c>
      <c r="H29" s="9">
        <f>ROUND(SUMPRODUCT((LEFT(TEXT(Submissions[Submitted],"yyyy-mm"),7)=$B29)*--("0"&amp;Submissions[Est. cost (ILS)])),2)</f>
        <v/>
      </c>
    </row>
    <row r="30">
      <c r="B30" s="9">
        <f>TEXT(EDATE(TODAY(),-9),"yyyy-mm")</f>
        <v/>
      </c>
      <c r="C30" s="9">
        <f>SUMPRODUCT((LEFT(TEXT(Submissions[Submitted],"yyyy-mm"),7)=$B30)*(Submissions[Center]=$J$14))</f>
        <v/>
      </c>
      <c r="D30" s="9">
        <f>SUMPRODUCT((LEFT(TEXT(Submissions[Submitted],"yyyy-mm"),7)=$B30)*(Submissions[Center]=$J$15))</f>
        <v/>
      </c>
      <c r="E30" s="9">
        <f>SUMPRODUCT(--(LEFT(TEXT(Submissions[Submitted],"yyyy-mm"),7)=$B30))</f>
        <v/>
      </c>
      <c r="F30" s="9">
        <f>SUMPRODUCT((LEFT(TEXT(Submissions[Submitted],"yyyy-mm"),7)=$B30)*--("0"&amp;Submissions[Pieces]))</f>
        <v/>
      </c>
      <c r="G30" s="9">
        <f>ROUND(SUMPRODUCT((LEFT(TEXT(Submissions[Submitted],"yyyy-mm"),7)=$B30)*--("0"&amp;Submissions[Est. time (min)]))/60,1)</f>
        <v/>
      </c>
      <c r="H30" s="9">
        <f>ROUND(SUMPRODUCT((LEFT(TEXT(Submissions[Submitted],"yyyy-mm"),7)=$B30)*--("0"&amp;Submissions[Est. cost (ILS)])),2)</f>
        <v/>
      </c>
    </row>
    <row r="31">
      <c r="B31" s="9">
        <f>TEXT(EDATE(TODAY(),-8),"yyyy-mm")</f>
        <v/>
      </c>
      <c r="C31" s="9">
        <f>SUMPRODUCT((LEFT(TEXT(Submissions[Submitted],"yyyy-mm"),7)=$B31)*(Submissions[Center]=$J$14))</f>
        <v/>
      </c>
      <c r="D31" s="9">
        <f>SUMPRODUCT((LEFT(TEXT(Submissions[Submitted],"yyyy-mm"),7)=$B31)*(Submissions[Center]=$J$15))</f>
        <v/>
      </c>
      <c r="E31" s="9">
        <f>SUMPRODUCT(--(LEFT(TEXT(Submissions[Submitted],"yyyy-mm"),7)=$B31))</f>
        <v/>
      </c>
      <c r="F31" s="9">
        <f>SUMPRODUCT((LEFT(TEXT(Submissions[Submitted],"yyyy-mm"),7)=$B31)*--("0"&amp;Submissions[Pieces]))</f>
        <v/>
      </c>
      <c r="G31" s="9">
        <f>ROUND(SUMPRODUCT((LEFT(TEXT(Submissions[Submitted],"yyyy-mm"),7)=$B31)*--("0"&amp;Submissions[Est. time (min)]))/60,1)</f>
        <v/>
      </c>
      <c r="H31" s="9">
        <f>ROUND(SUMPRODUCT((LEFT(TEXT(Submissions[Submitted],"yyyy-mm"),7)=$B31)*--("0"&amp;Submissions[Est. cost (ILS)])),2)</f>
        <v/>
      </c>
    </row>
    <row r="32">
      <c r="B32" s="9">
        <f>TEXT(EDATE(TODAY(),-7),"yyyy-mm")</f>
        <v/>
      </c>
      <c r="C32" s="9">
        <f>SUMPRODUCT((LEFT(TEXT(Submissions[Submitted],"yyyy-mm"),7)=$B32)*(Submissions[Center]=$J$14))</f>
        <v/>
      </c>
      <c r="D32" s="9">
        <f>SUMPRODUCT((LEFT(TEXT(Submissions[Submitted],"yyyy-mm"),7)=$B32)*(Submissions[Center]=$J$15))</f>
        <v/>
      </c>
      <c r="E32" s="9">
        <f>SUMPRODUCT(--(LEFT(TEXT(Submissions[Submitted],"yyyy-mm"),7)=$B32))</f>
        <v/>
      </c>
      <c r="F32" s="9">
        <f>SUMPRODUCT((LEFT(TEXT(Submissions[Submitted],"yyyy-mm"),7)=$B32)*--("0"&amp;Submissions[Pieces]))</f>
        <v/>
      </c>
      <c r="G32" s="9">
        <f>ROUND(SUMPRODUCT((LEFT(TEXT(Submissions[Submitted],"yyyy-mm"),7)=$B32)*--("0"&amp;Submissions[Est. time (min)]))/60,1)</f>
        <v/>
      </c>
      <c r="H32" s="9">
        <f>ROUND(SUMPRODUCT((LEFT(TEXT(Submissions[Submitted],"yyyy-mm"),7)=$B32)*--("0"&amp;Submissions[Est. cost (ILS)])),2)</f>
        <v/>
      </c>
    </row>
    <row r="33">
      <c r="B33" s="9">
        <f>TEXT(EDATE(TODAY(),-6),"yyyy-mm")</f>
        <v/>
      </c>
      <c r="C33" s="9">
        <f>SUMPRODUCT((LEFT(TEXT(Submissions[Submitted],"yyyy-mm"),7)=$B33)*(Submissions[Center]=$J$14))</f>
        <v/>
      </c>
      <c r="D33" s="9">
        <f>SUMPRODUCT((LEFT(TEXT(Submissions[Submitted],"yyyy-mm"),7)=$B33)*(Submissions[Center]=$J$15))</f>
        <v/>
      </c>
      <c r="E33" s="9">
        <f>SUMPRODUCT(--(LEFT(TEXT(Submissions[Submitted],"yyyy-mm"),7)=$B33))</f>
        <v/>
      </c>
      <c r="F33" s="9">
        <f>SUMPRODUCT((LEFT(TEXT(Submissions[Submitted],"yyyy-mm"),7)=$B33)*--("0"&amp;Submissions[Pieces]))</f>
        <v/>
      </c>
      <c r="G33" s="9">
        <f>ROUND(SUMPRODUCT((LEFT(TEXT(Submissions[Submitted],"yyyy-mm"),7)=$B33)*--("0"&amp;Submissions[Est. time (min)]))/60,1)</f>
        <v/>
      </c>
      <c r="H33" s="9">
        <f>ROUND(SUMPRODUCT((LEFT(TEXT(Submissions[Submitted],"yyyy-mm"),7)=$B33)*--("0"&amp;Submissions[Est. cost (ILS)])),2)</f>
        <v/>
      </c>
    </row>
    <row r="34">
      <c r="B34" s="9">
        <f>TEXT(EDATE(TODAY(),-5),"yyyy-mm")</f>
        <v/>
      </c>
      <c r="C34" s="9">
        <f>SUMPRODUCT((LEFT(TEXT(Submissions[Submitted],"yyyy-mm"),7)=$B34)*(Submissions[Center]=$J$14))</f>
        <v/>
      </c>
      <c r="D34" s="9">
        <f>SUMPRODUCT((LEFT(TEXT(Submissions[Submitted],"yyyy-mm"),7)=$B34)*(Submissions[Center]=$J$15))</f>
        <v/>
      </c>
      <c r="E34" s="9">
        <f>SUMPRODUCT(--(LEFT(TEXT(Submissions[Submitted],"yyyy-mm"),7)=$B34))</f>
        <v/>
      </c>
      <c r="F34" s="9">
        <f>SUMPRODUCT((LEFT(TEXT(Submissions[Submitted],"yyyy-mm"),7)=$B34)*--("0"&amp;Submissions[Pieces]))</f>
        <v/>
      </c>
      <c r="G34" s="9">
        <f>ROUND(SUMPRODUCT((LEFT(TEXT(Submissions[Submitted],"yyyy-mm"),7)=$B34)*--("0"&amp;Submissions[Est. time (min)]))/60,1)</f>
        <v/>
      </c>
      <c r="H34" s="9">
        <f>ROUND(SUMPRODUCT((LEFT(TEXT(Submissions[Submitted],"yyyy-mm"),7)=$B34)*--("0"&amp;Submissions[Est. cost (ILS)])),2)</f>
        <v/>
      </c>
    </row>
    <row r="35">
      <c r="B35" s="9">
        <f>TEXT(EDATE(TODAY(),-4),"yyyy-mm")</f>
        <v/>
      </c>
      <c r="C35" s="9">
        <f>SUMPRODUCT((LEFT(TEXT(Submissions[Submitted],"yyyy-mm"),7)=$B35)*(Submissions[Center]=$J$14))</f>
        <v/>
      </c>
      <c r="D35" s="9">
        <f>SUMPRODUCT((LEFT(TEXT(Submissions[Submitted],"yyyy-mm"),7)=$B35)*(Submissions[Center]=$J$15))</f>
        <v/>
      </c>
      <c r="E35" s="9">
        <f>SUMPRODUCT(--(LEFT(TEXT(Submissions[Submitted],"yyyy-mm"),7)=$B35))</f>
        <v/>
      </c>
      <c r="F35" s="9">
        <f>SUMPRODUCT((LEFT(TEXT(Submissions[Submitted],"yyyy-mm"),7)=$B35)*--("0"&amp;Submissions[Pieces]))</f>
        <v/>
      </c>
      <c r="G35" s="9">
        <f>ROUND(SUMPRODUCT((LEFT(TEXT(Submissions[Submitted],"yyyy-mm"),7)=$B35)*--("0"&amp;Submissions[Est. time (min)]))/60,1)</f>
        <v/>
      </c>
      <c r="H35" s="9">
        <f>ROUND(SUMPRODUCT((LEFT(TEXT(Submissions[Submitted],"yyyy-mm"),7)=$B35)*--("0"&amp;Submissions[Est. cost (ILS)])),2)</f>
        <v/>
      </c>
    </row>
    <row r="36">
      <c r="B36" s="9">
        <f>TEXT(EDATE(TODAY(),-3),"yyyy-mm")</f>
        <v/>
      </c>
      <c r="C36" s="9">
        <f>SUMPRODUCT((LEFT(TEXT(Submissions[Submitted],"yyyy-mm"),7)=$B36)*(Submissions[Center]=$J$14))</f>
        <v/>
      </c>
      <c r="D36" s="9">
        <f>SUMPRODUCT((LEFT(TEXT(Submissions[Submitted],"yyyy-mm"),7)=$B36)*(Submissions[Center]=$J$15))</f>
        <v/>
      </c>
      <c r="E36" s="9">
        <f>SUMPRODUCT(--(LEFT(TEXT(Submissions[Submitted],"yyyy-mm"),7)=$B36))</f>
        <v/>
      </c>
      <c r="F36" s="9">
        <f>SUMPRODUCT((LEFT(TEXT(Submissions[Submitted],"yyyy-mm"),7)=$B36)*--("0"&amp;Submissions[Pieces]))</f>
        <v/>
      </c>
      <c r="G36" s="9">
        <f>ROUND(SUMPRODUCT((LEFT(TEXT(Submissions[Submitted],"yyyy-mm"),7)=$B36)*--("0"&amp;Submissions[Est. time (min)]))/60,1)</f>
        <v/>
      </c>
      <c r="H36" s="9">
        <f>ROUND(SUMPRODUCT((LEFT(TEXT(Submissions[Submitted],"yyyy-mm"),7)=$B36)*--("0"&amp;Submissions[Est. cost (ILS)])),2)</f>
        <v/>
      </c>
    </row>
    <row r="37">
      <c r="B37" s="9">
        <f>TEXT(EDATE(TODAY(),-2),"yyyy-mm")</f>
        <v/>
      </c>
      <c r="C37" s="9">
        <f>SUMPRODUCT((LEFT(TEXT(Submissions[Submitted],"yyyy-mm"),7)=$B37)*(Submissions[Center]=$J$14))</f>
        <v/>
      </c>
      <c r="D37" s="9">
        <f>SUMPRODUCT((LEFT(TEXT(Submissions[Submitted],"yyyy-mm"),7)=$B37)*(Submissions[Center]=$J$15))</f>
        <v/>
      </c>
      <c r="E37" s="9">
        <f>SUMPRODUCT(--(LEFT(TEXT(Submissions[Submitted],"yyyy-mm"),7)=$B37))</f>
        <v/>
      </c>
      <c r="F37" s="9">
        <f>SUMPRODUCT((LEFT(TEXT(Submissions[Submitted],"yyyy-mm"),7)=$B37)*--("0"&amp;Submissions[Pieces]))</f>
        <v/>
      </c>
      <c r="G37" s="9">
        <f>ROUND(SUMPRODUCT((LEFT(TEXT(Submissions[Submitted],"yyyy-mm"),7)=$B37)*--("0"&amp;Submissions[Est. time (min)]))/60,1)</f>
        <v/>
      </c>
      <c r="H37" s="9">
        <f>ROUND(SUMPRODUCT((LEFT(TEXT(Submissions[Submitted],"yyyy-mm"),7)=$B37)*--("0"&amp;Submissions[Est. cost (ILS)])),2)</f>
        <v/>
      </c>
    </row>
    <row r="38">
      <c r="B38" s="9">
        <f>TEXT(EDATE(TODAY(),-1),"yyyy-mm")</f>
        <v/>
      </c>
      <c r="C38" s="9">
        <f>SUMPRODUCT((LEFT(TEXT(Submissions[Submitted],"yyyy-mm"),7)=$B38)*(Submissions[Center]=$J$14))</f>
        <v/>
      </c>
      <c r="D38" s="9">
        <f>SUMPRODUCT((LEFT(TEXT(Submissions[Submitted],"yyyy-mm"),7)=$B38)*(Submissions[Center]=$J$15))</f>
        <v/>
      </c>
      <c r="E38" s="9">
        <f>SUMPRODUCT(--(LEFT(TEXT(Submissions[Submitted],"yyyy-mm"),7)=$B38))</f>
        <v/>
      </c>
      <c r="F38" s="9">
        <f>SUMPRODUCT((LEFT(TEXT(Submissions[Submitted],"yyyy-mm"),7)=$B38)*--("0"&amp;Submissions[Pieces]))</f>
        <v/>
      </c>
      <c r="G38" s="9">
        <f>ROUND(SUMPRODUCT((LEFT(TEXT(Submissions[Submitted],"yyyy-mm"),7)=$B38)*--("0"&amp;Submissions[Est. time (min)]))/60,1)</f>
        <v/>
      </c>
      <c r="H38" s="9">
        <f>ROUND(SUMPRODUCT((LEFT(TEXT(Submissions[Submitted],"yyyy-mm"),7)=$B38)*--("0"&amp;Submissions[Est. cost (ILS)])),2)</f>
        <v/>
      </c>
    </row>
    <row r="39">
      <c r="B39" s="9">
        <f>TEXT(EDATE(TODAY(),0),"yyyy-mm")</f>
        <v/>
      </c>
      <c r="C39" s="9">
        <f>SUMPRODUCT((LEFT(TEXT(Submissions[Submitted],"yyyy-mm"),7)=$B39)*(Submissions[Center]=$J$14))</f>
        <v/>
      </c>
      <c r="D39" s="9">
        <f>SUMPRODUCT((LEFT(TEXT(Submissions[Submitted],"yyyy-mm"),7)=$B39)*(Submissions[Center]=$J$15))</f>
        <v/>
      </c>
      <c r="E39" s="9">
        <f>SUMPRODUCT(--(LEFT(TEXT(Submissions[Submitted],"yyyy-mm"),7)=$B39))</f>
        <v/>
      </c>
      <c r="F39" s="9">
        <f>SUMPRODUCT((LEFT(TEXT(Submissions[Submitted],"yyyy-mm"),7)=$B39)*--("0"&amp;Submissions[Pieces]))</f>
        <v/>
      </c>
      <c r="G39" s="9">
        <f>ROUND(SUMPRODUCT((LEFT(TEXT(Submissions[Submitted],"yyyy-mm"),7)=$B39)*--("0"&amp;Submissions[Est. time (min)]))/60,1)</f>
        <v/>
      </c>
      <c r="H39" s="9">
        <f>ROUND(SUMPRODUCT((LEFT(TEXT(Submissions[Submitted],"yyyy-mm"),7)=$B39)*--("0"&amp;Submissions[Est. cost (ILS)])),2)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30" customWidth="1" min="4" max="4"/>
    <col width="18" customWidth="1" min="5" max="5"/>
    <col width="12" customWidth="1" min="6" max="6"/>
    <col width="26" customWidth="1" min="7" max="7"/>
    <col width="14" customWidth="1" min="8" max="8"/>
    <col width="18" customWidth="1" min="9" max="9"/>
    <col width="20" customWidth="1" min="10" max="10"/>
    <col width="12" customWidth="1" min="11" max="11"/>
    <col width="8" customWidth="1" min="12" max="12"/>
    <col width="18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  <col width="40" customWidth="1" min="19" max="19"/>
    <col width="9" customWidth="1" min="20" max="20"/>
    <col width="34" customWidth="1" min="21" max="21"/>
    <col width="34" customWidth="1" min="22" max="22"/>
    <col width="34" customWidth="1" min="23" max="23"/>
    <col width="30" customWidth="1" min="24" max="24"/>
  </cols>
  <sheetData>
    <row r="1" ht="30" customHeight="1">
      <c r="A1" s="18" t="inlineStr">
        <is>
          <t>Submitted</t>
        </is>
      </c>
      <c r="B1" s="18" t="inlineStr">
        <is>
          <t>Submission ID</t>
        </is>
      </c>
      <c r="C1" s="18" t="inlineStr">
        <is>
          <t>Status</t>
        </is>
      </c>
      <c r="D1" s="18" t="inlineStr">
        <is>
          <t>Center</t>
        </is>
      </c>
      <c r="E1" s="18" t="inlineStr">
        <is>
          <t>Name</t>
        </is>
      </c>
      <c r="F1" s="18" t="inlineStr">
        <is>
          <t>ID number</t>
        </is>
      </c>
      <c r="G1" s="18" t="inlineStr">
        <is>
          <t>Email</t>
        </is>
      </c>
      <c r="H1" s="18" t="inlineStr">
        <is>
          <t>Phone</t>
        </is>
      </c>
      <c r="I1" s="18" t="inlineStr">
        <is>
          <t>Department</t>
        </is>
      </c>
      <c r="J1" s="18" t="inlineStr">
        <is>
          <t>Course</t>
        </is>
      </c>
      <c r="K1" s="18" t="inlineStr">
        <is>
          <t>Deadline</t>
        </is>
      </c>
      <c r="L1" s="18" t="inlineStr">
        <is>
          <t>Pieces</t>
        </is>
      </c>
      <c r="M1" s="18" t="inlineStr">
        <is>
          <t>Color</t>
        </is>
      </c>
      <c r="N1" s="18" t="inlineStr">
        <is>
          <t>Profile</t>
        </is>
      </c>
      <c r="O1" s="18" t="inlineStr">
        <is>
          <t>Est. time (min)</t>
        </is>
      </c>
      <c r="P1" s="18" t="inlineStr">
        <is>
          <t>Est. cost (ILS)</t>
        </is>
      </c>
      <c r="Q1" s="18" t="inlineStr">
        <is>
          <t>Plates</t>
        </is>
      </c>
      <c r="R1" s="18" t="inlineStr">
        <is>
          <t>Filament (g)</t>
        </is>
      </c>
      <c r="S1" s="18" t="inlineStr">
        <is>
          <t>Objects</t>
        </is>
      </c>
      <c r="T1" s="18" t="inlineStr">
        <is>
          <t>Supports</t>
        </is>
      </c>
      <c r="U1" s="18" t="inlineStr">
        <is>
          <t>Files</t>
        </is>
      </c>
      <c r="V1" s="18" t="inlineStr">
        <is>
          <t>Folder</t>
        </is>
      </c>
      <c r="W1" s="18" t="inlineStr">
        <is>
          <t>Student notes</t>
        </is>
      </c>
      <c r="X1" s="18" t="inlineStr">
        <is>
          <t>Lab notes</t>
        </is>
      </c>
    </row>
    <row r="2">
      <c r="S2" s="19" t="n"/>
      <c r="U2" s="19" t="n"/>
      <c r="W2" s="19" t="n"/>
      <c r="X2" s="19" t="n"/>
    </row>
  </sheetData>
  <conditionalFormatting sqref="C2:C5000">
    <cfRule type="expression" priority="1" dxfId="0">
      <formula>$C2="New"</formula>
    </cfRule>
    <cfRule type="expression" priority="2" dxfId="1">
      <formula>$C2="In review"</formula>
    </cfRule>
    <cfRule type="expression" priority="3" dxfId="2">
      <formula>$C2="Queued"</formula>
    </cfRule>
    <cfRule type="expression" priority="4" dxfId="3">
      <formula>$C2="Printing"</formula>
    </cfRule>
    <cfRule type="expression" priority="5" dxfId="4">
      <formula>$C2="Ready for pickup"</formula>
    </cfRule>
    <cfRule type="expression" priority="6" dxfId="5">
      <formula>$C2="Picked up"</formula>
    </cfRule>
    <cfRule type="expression" priority="7" dxfId="6">
      <formula>$C2="On hold"</formula>
    </cfRule>
    <cfRule type="expression" priority="8" dxfId="7">
      <formula>$C2="Rejected"</formula>
    </cfRule>
    <cfRule type="expression" priority="9" dxfId="8">
      <formula>$C2="Cancelled"</formula>
    </cfRule>
  </conditionalFormatting>
  <dataValidations count="1">
    <dataValidation sqref="C2:C5000" showDropDown="0" showInputMessage="0" showErrorMessage="0" allowBlank="1" error="Choose a status from the list." type="list">
      <formula1>"New,In review,Queued,Printing,Ready for pickup,Picked up,On hold,Rejected,Cancelled"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2026-10-13T08:30:30Z</dcterms:created>
  <dcterms:modified xsi:type="dcterms:W3CDTF">2026-10-13T08:30:30Z</dcterms:modified>
</cp:coreProperties>
</file>